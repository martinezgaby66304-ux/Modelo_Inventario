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filterPrivacy="1"/>
  <xr:revisionPtr revIDLastSave="0" documentId="8_{95928CBB-6007-4657-B212-DD223A2A1B46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" i="1"/>
  <c r="C4" i="1"/>
  <c r="C2" i="1"/>
  <c r="C9" i="1"/>
  <c r="G8" i="1" l="1"/>
  <c r="C16" i="1" s="1"/>
  <c r="C8" i="1"/>
  <c r="C12" i="1"/>
  <c r="C10" i="1"/>
  <c r="C14" i="1" s="1"/>
  <c r="C13" i="1"/>
</calcChain>
</file>

<file path=xl/sharedStrings.xml><?xml version="1.0" encoding="utf-8"?>
<sst xmlns="http://schemas.openxmlformats.org/spreadsheetml/2006/main" count="23" uniqueCount="23">
  <si>
    <t>K</t>
  </si>
  <si>
    <t>D</t>
  </si>
  <si>
    <t>H</t>
  </si>
  <si>
    <t>C</t>
  </si>
  <si>
    <t>i</t>
  </si>
  <si>
    <t>Dolares</t>
  </si>
  <si>
    <t>Propuesta</t>
  </si>
  <si>
    <t>y*c1</t>
  </si>
  <si>
    <t>a</t>
  </si>
  <si>
    <t>y*c4</t>
  </si>
  <si>
    <t>e</t>
  </si>
  <si>
    <t>y*c2</t>
  </si>
  <si>
    <t>b</t>
  </si>
  <si>
    <t>y*c3</t>
  </si>
  <si>
    <t>c</t>
  </si>
  <si>
    <r>
      <rPr>
        <sz val="11"/>
        <color rgb="FF000000"/>
        <rFont val="Aptos Narrow"/>
        <scheme val="minor"/>
      </rPr>
      <t>CTU</t>
    </r>
    <r>
      <rPr>
        <sz val="11"/>
        <color rgb="FF43AEE2"/>
        <rFont val="Aptos Narrow"/>
        <scheme val="minor"/>
      </rPr>
      <t>a</t>
    </r>
  </si>
  <si>
    <t>&lt;17000</t>
  </si>
  <si>
    <r>
      <rPr>
        <sz val="11"/>
        <color rgb="FF000000"/>
        <rFont val="Aptos Narrow"/>
        <scheme val="minor"/>
      </rPr>
      <t>CTU</t>
    </r>
    <r>
      <rPr>
        <sz val="11"/>
        <color rgb="FF43AEE2"/>
        <rFont val="Aptos Narrow"/>
        <scheme val="minor"/>
      </rPr>
      <t>b</t>
    </r>
  </si>
  <si>
    <t>17000 y 20000</t>
  </si>
  <si>
    <r>
      <rPr>
        <sz val="11"/>
        <color rgb="FF000000"/>
        <rFont val="Aptos Narrow"/>
        <scheme val="minor"/>
      </rPr>
      <t>CTU</t>
    </r>
    <r>
      <rPr>
        <sz val="11"/>
        <color rgb="FF43AEE2"/>
        <rFont val="Aptos Narrow"/>
        <scheme val="minor"/>
      </rPr>
      <t>c</t>
    </r>
  </si>
  <si>
    <t>&gt;20000</t>
  </si>
  <si>
    <r>
      <rPr>
        <sz val="11"/>
        <color rgb="FF000000"/>
        <rFont val="Aptos Narrow"/>
        <scheme val="minor"/>
      </rPr>
      <t>CTU</t>
    </r>
    <r>
      <rPr>
        <sz val="11"/>
        <color rgb="FF61CBF3"/>
        <rFont val="Aptos Narrow"/>
        <scheme val="minor"/>
      </rPr>
      <t>e</t>
    </r>
  </si>
  <si>
    <t>Sí conviene aceptar esta propuesta, porque el costo total que nos da está mucho más bajo que el de las otras opciones que ya analizamos.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</si>
</sst>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43AEE2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61CBF3"/>
      <name val="Aptos Narrow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ED5F"/>
        <bgColor indexed="64"/>
      </patternFill>
    </fill>
  </fills>
  <borders count="24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n">
        <color theme="5" tint="0.39997558519241921"/>
      </bottom>
      <diagonal/>
    </border>
    <border>
      <left style="thin">
        <color theme="7" tint="0.59999389629810485"/>
      </left>
      <right/>
      <top style="thin">
        <color theme="7" tint="0.59999389629810485"/>
      </top>
      <bottom/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7" tint="0.59999389629810485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/>
      <right/>
      <top style="thin">
        <color theme="5" tint="0.59999389629810485"/>
      </top>
      <bottom style="thin">
        <color theme="5" tint="0.59999389629810485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2" borderId="6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5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0" fillId="0" borderId="3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3" borderId="13" xfId="0" applyNumberFormat="1" applyFill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3" borderId="18" xfId="0" applyNumberFormat="1" applyFill="1" applyBorder="1" applyAlignment="1">
      <alignment horizontal="center"/>
    </xf>
    <xf numFmtId="0" fontId="0" fillId="4" borderId="19" xfId="0" applyNumberFormat="1" applyFill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3" fillId="5" borderId="20" xfId="0" applyNumberFormat="1" applyFont="1" applyFill="1" applyBorder="1" applyAlignment="1">
      <alignment horizontal="center"/>
    </xf>
    <xf numFmtId="0" fontId="0" fillId="6" borderId="21" xfId="0" applyNumberFormat="1" applyFill="1" applyBorder="1" applyAlignment="1">
      <alignment horizontal="center"/>
    </xf>
    <xf numFmtId="0" fontId="4" fillId="0" borderId="17" xfId="0" applyNumberFormat="1" applyFon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0" fontId="0" fillId="0" borderId="22" xfId="0" applyNumberFormat="1" applyBorder="1" applyAlignment="1">
      <alignment horizontal="center" vertical="center" wrapText="1"/>
    </xf>
    <xf numFmtId="0" fontId="0" fillId="0" borderId="2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D5F"/>
      <color rgb="FFC6D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K20"/>
  <sheetViews>
    <sheetView tabSelected="1" workbookViewId="0">
      <selection activeCell="F2" sqref="F2"/>
    </sheetView>
  </sheetViews>
  <sheetFormatPr defaultColWidth="11.42578125" defaultRowHeight="15"/>
  <cols>
    <col min="1" max="1" width="12.28515625" style="4" bestFit="1" customWidth="1"/>
    <col min="2" max="2" width="11.42578125" style="4"/>
    <col min="3" max="3" width="18.42578125" style="4" bestFit="1" customWidth="1"/>
    <col min="4" max="4" width="13.42578125" style="4" bestFit="1" customWidth="1"/>
    <col min="5" max="7" width="11.42578125" style="4"/>
    <col min="8" max="8" width="13.85546875" style="4" bestFit="1" customWidth="1"/>
    <col min="9" max="16384" width="11.42578125" style="4"/>
  </cols>
  <sheetData>
    <row r="1" spans="1:11">
      <c r="A1" s="3" t="s">
        <v>0</v>
      </c>
      <c r="B1" s="6" t="s">
        <v>1</v>
      </c>
      <c r="C1" s="7" t="s">
        <v>2</v>
      </c>
      <c r="D1" s="3" t="s">
        <v>3</v>
      </c>
      <c r="E1" s="3" t="s">
        <v>4</v>
      </c>
      <c r="F1" s="8"/>
      <c r="G1" s="8"/>
      <c r="H1" s="1"/>
      <c r="I1" s="1"/>
      <c r="J1" s="1" t="s">
        <v>5</v>
      </c>
      <c r="K1" s="1"/>
    </row>
    <row r="2" spans="1:11">
      <c r="A2" s="2">
        <v>20000</v>
      </c>
      <c r="B2" s="12">
        <v>17000</v>
      </c>
      <c r="C2" s="21">
        <f>E2*D2</f>
        <v>1.68</v>
      </c>
      <c r="D2" s="9">
        <v>280</v>
      </c>
      <c r="E2" s="9">
        <v>6.0000000000000001E-3</v>
      </c>
      <c r="F2" s="8"/>
      <c r="G2" s="8"/>
      <c r="H2" s="1"/>
      <c r="I2" s="1">
        <v>280</v>
      </c>
      <c r="J2" s="1">
        <v>20000</v>
      </c>
      <c r="K2" s="1"/>
    </row>
    <row r="3" spans="1:11">
      <c r="A3" s="2">
        <v>20000</v>
      </c>
      <c r="B3" s="12">
        <v>17000</v>
      </c>
      <c r="C3" s="21">
        <f t="shared" ref="C3:C4" si="0">E3*D3</f>
        <v>1.56</v>
      </c>
      <c r="D3" s="10">
        <v>260</v>
      </c>
      <c r="E3" s="9">
        <v>6.0000000000000001E-3</v>
      </c>
      <c r="F3" s="8"/>
      <c r="G3" s="8"/>
      <c r="H3" s="1"/>
      <c r="I3" s="1">
        <v>260</v>
      </c>
      <c r="J3" s="1">
        <v>20000</v>
      </c>
      <c r="K3" s="1"/>
    </row>
    <row r="4" spans="1:11">
      <c r="A4" s="2">
        <v>20000</v>
      </c>
      <c r="B4" s="12">
        <v>17000</v>
      </c>
      <c r="C4" s="10">
        <f t="shared" si="0"/>
        <v>1.5</v>
      </c>
      <c r="D4" s="33">
        <v>250</v>
      </c>
      <c r="E4" s="9">
        <v>6.0000000000000001E-3</v>
      </c>
      <c r="F4" s="1"/>
      <c r="G4" s="1"/>
      <c r="H4" s="1"/>
      <c r="I4" s="1">
        <v>250</v>
      </c>
      <c r="J4" s="1">
        <v>20000</v>
      </c>
      <c r="K4" s="1"/>
    </row>
    <row r="5" spans="1:11">
      <c r="A5" s="28" t="s">
        <v>6</v>
      </c>
      <c r="B5" s="29"/>
      <c r="C5" s="8"/>
      <c r="D5" s="8"/>
      <c r="E5" s="8"/>
      <c r="F5" s="1"/>
      <c r="G5" s="1"/>
      <c r="H5" s="1"/>
      <c r="I5" s="1">
        <v>232</v>
      </c>
      <c r="J5" s="1"/>
      <c r="K5" s="1"/>
    </row>
    <row r="6" spans="1:11">
      <c r="A6" s="22">
        <v>20000</v>
      </c>
      <c r="B6" s="22">
        <v>100000</v>
      </c>
      <c r="C6" s="22">
        <f>E6*D6</f>
        <v>1.8560000000000001</v>
      </c>
      <c r="D6" s="22">
        <v>232</v>
      </c>
      <c r="E6" s="22">
        <v>8.0000000000000002E-3</v>
      </c>
      <c r="F6" s="1"/>
      <c r="G6" s="1"/>
      <c r="H6" s="1"/>
      <c r="I6" s="1"/>
      <c r="J6" s="1"/>
      <c r="K6" s="1"/>
    </row>
    <row r="7" spans="1:11">
      <c r="A7" s="1"/>
      <c r="B7" s="8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5" t="s">
        <v>7</v>
      </c>
      <c r="B8" s="14" t="s">
        <v>8</v>
      </c>
      <c r="C8" s="19">
        <f>SQRT((2*A2*B2)/C2)</f>
        <v>20118.695404073911</v>
      </c>
      <c r="D8" s="11"/>
      <c r="E8" s="23" t="s">
        <v>9</v>
      </c>
      <c r="F8" s="25" t="s">
        <v>10</v>
      </c>
      <c r="G8" s="24">
        <f>SQRT((2*A4*B4)/C6)</f>
        <v>19141.037337219412</v>
      </c>
    </row>
    <row r="9" spans="1:11">
      <c r="A9" s="16" t="s">
        <v>11</v>
      </c>
      <c r="B9" s="14" t="s">
        <v>12</v>
      </c>
      <c r="C9" s="5">
        <f>SQRT((2*A3*B3)/C3)</f>
        <v>20878.156908535675</v>
      </c>
      <c r="D9" s="11"/>
    </row>
    <row r="10" spans="1:11">
      <c r="A10" s="17" t="s">
        <v>13</v>
      </c>
      <c r="B10" s="14" t="s">
        <v>14</v>
      </c>
      <c r="C10" s="19">
        <f t="shared" ref="C9:C10" si="1">SQRT((2*A4*B4)/C4)</f>
        <v>21291.625896895082</v>
      </c>
      <c r="D10" s="11"/>
    </row>
    <row r="11" spans="1:11">
      <c r="A11" s="11"/>
      <c r="B11" s="11"/>
    </row>
    <row r="12" spans="1:11">
      <c r="A12" s="26" t="s">
        <v>15</v>
      </c>
      <c r="B12" s="11"/>
      <c r="C12" s="13">
        <f>B2*D2+B2*A2/C8+C2*C8/2</f>
        <v>4793799.4082788434</v>
      </c>
      <c r="D12" s="11" t="s">
        <v>16</v>
      </c>
    </row>
    <row r="13" spans="1:11">
      <c r="A13" s="26" t="s">
        <v>17</v>
      </c>
      <c r="B13" s="11"/>
      <c r="C13" s="18">
        <f t="shared" ref="C13" si="2">B3*D3+B3*A3/C9+C3*C9/2</f>
        <v>4452569.9247773159</v>
      </c>
      <c r="D13" s="11" t="s">
        <v>18</v>
      </c>
    </row>
    <row r="14" spans="1:11">
      <c r="A14" s="26" t="s">
        <v>19</v>
      </c>
      <c r="B14" s="11"/>
      <c r="C14" s="20">
        <f>B4*D4+B4*A4/C10+C4*C10/2</f>
        <v>4281937.438845342</v>
      </c>
      <c r="D14" s="11" t="s">
        <v>20</v>
      </c>
      <c r="F14" s="11"/>
      <c r="G14" s="11"/>
      <c r="H14" s="11"/>
      <c r="I14" s="11"/>
      <c r="J14" s="11"/>
      <c r="K14" s="11"/>
    </row>
    <row r="15" spans="1:11">
      <c r="F15" s="11"/>
      <c r="G15" s="11"/>
      <c r="H15" s="11"/>
      <c r="I15" s="11"/>
      <c r="J15" s="11"/>
      <c r="K15" s="11"/>
    </row>
    <row r="16" spans="1:11">
      <c r="A16" s="26" t="s">
        <v>21</v>
      </c>
      <c r="C16" s="27">
        <f>B6*D6+B6*A6/G8+C6*G8/2</f>
        <v>23322250.427642703</v>
      </c>
      <c r="F16" s="30" t="s">
        <v>22</v>
      </c>
      <c r="G16" s="31"/>
      <c r="H16" s="31"/>
      <c r="I16" s="31"/>
      <c r="J16" s="31"/>
      <c r="K16" s="31"/>
    </row>
    <row r="17" spans="6:11">
      <c r="F17" s="31"/>
      <c r="G17" s="31"/>
      <c r="H17" s="31"/>
      <c r="I17" s="31"/>
      <c r="J17" s="31"/>
      <c r="K17" s="31"/>
    </row>
    <row r="18" spans="6:11">
      <c r="F18" s="32"/>
      <c r="G18" s="32"/>
      <c r="H18" s="32"/>
      <c r="I18" s="32"/>
      <c r="J18" s="32"/>
      <c r="K18" s="32"/>
    </row>
    <row r="19" spans="6:11">
      <c r="F19" s="11"/>
      <c r="G19" s="11"/>
      <c r="H19" s="11"/>
      <c r="I19" s="11"/>
      <c r="J19" s="11"/>
      <c r="K19" s="11"/>
    </row>
    <row r="20" spans="6:11">
      <c r="F20" s="11"/>
      <c r="G20" s="11"/>
      <c r="H20" s="11"/>
      <c r="I20" s="11"/>
      <c r="J20" s="11"/>
      <c r="K20" s="11"/>
    </row>
  </sheetData>
  <mergeCells count="2">
    <mergeCell ref="A5:B5"/>
    <mergeCell ref="F16:K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2025-11-08T00:18:33Z</dcterms:created>
  <dcterms:modified xsi:type="dcterms:W3CDTF">2025-11-08T04:17:50Z</dcterms:modified>
  <cp:category/>
  <cp:contentStatus/>
</cp:coreProperties>
</file>